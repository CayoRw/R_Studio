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215"/>
  </bookViews>
  <sheets>
    <sheet name="Planilha1" sheetId="1" r:id="rId1"/>
  </sheets>
  <calcPr calcId="144525"/>
</workbook>
</file>

<file path=xl/comments1.xml><?xml version="1.0" encoding="utf-8"?>
<comments xmlns="http://schemas.openxmlformats.org/spreadsheetml/2006/main">
  <authors>
    <author>Wagner</author>
  </authors>
  <commentList>
    <comment ref="A1" authorId="0">
      <text>
        <r>
          <rPr>
            <sz val="9"/>
            <rFont val="Segoe UI"/>
            <charset val="1"/>
          </rPr>
          <t xml:space="preserve">Institucionalizados - 1
Comunidade - 2
</t>
        </r>
      </text>
    </comment>
    <comment ref="B1" authorId="0">
      <text>
        <r>
          <rPr>
            <sz val="9"/>
            <rFont val="Segoe UI"/>
            <charset val="1"/>
          </rPr>
          <t>Homem - 1
Mulher - 2</t>
        </r>
      </text>
    </comment>
    <comment ref="C1" authorId="0">
      <text>
        <r>
          <rPr>
            <sz val="9"/>
            <rFont val="Segoe UI"/>
            <charset val="1"/>
          </rPr>
          <t>Em anos</t>
        </r>
      </text>
    </comment>
    <comment ref="D1" authorId="0">
      <text>
        <r>
          <rPr>
            <sz val="9"/>
            <rFont val="Segoe UI"/>
            <charset val="1"/>
          </rPr>
          <t>Em metro (m)</t>
        </r>
      </text>
    </comment>
    <comment ref="E1" authorId="0">
      <text>
        <r>
          <rPr>
            <sz val="9"/>
            <rFont val="Segoe UI"/>
            <charset val="1"/>
          </rPr>
          <t>Em quilograma (Kg)</t>
        </r>
      </text>
    </comment>
    <comment ref="F1" authorId="0">
      <text>
        <r>
          <rPr>
            <sz val="9"/>
            <rFont val="Segoe UI"/>
            <charset val="1"/>
          </rPr>
          <t>Kg/m²
Na população idosa, os valores de referência do IMC
são classificados como baixo peso ≤22kg/m2, eutrófico &gt;22kg/m2
e &lt;27kg/m2 e sobrepeso ≥27kg/m2</t>
        </r>
      </text>
    </comment>
    <comment ref="G1" authorId="0">
      <text>
        <r>
          <rPr>
            <sz val="9"/>
            <rFont val="Segoe UI"/>
            <charset val="1"/>
          </rPr>
          <t>Praticante de atividade física?
1- Sim
2 - Não</t>
        </r>
      </text>
    </comment>
    <comment ref="H1" authorId="0">
      <text>
        <r>
          <rPr>
            <sz val="9"/>
            <rFont val="Segoe UI"/>
            <charset val="134"/>
          </rPr>
          <t>&gt;27 - Normal
≤ 24 (&gt;4 anos escolaridade) ≤ 17 (&lt;4 anos escolaridade) - Demência</t>
        </r>
      </text>
    </comment>
  </commentList>
</comments>
</file>

<file path=xl/sharedStrings.xml><?xml version="1.0" encoding="utf-8"?>
<sst xmlns="http://schemas.openxmlformats.org/spreadsheetml/2006/main" count="40" uniqueCount="17">
  <si>
    <t>Grupo</t>
  </si>
  <si>
    <t>Sexo</t>
  </si>
  <si>
    <t>Idade</t>
  </si>
  <si>
    <t>Altura</t>
  </si>
  <si>
    <t>Peso</t>
  </si>
  <si>
    <t>IMC</t>
  </si>
  <si>
    <t>PAF</t>
  </si>
  <si>
    <t>MEEM</t>
  </si>
  <si>
    <t>EST.CIVIL</t>
  </si>
  <si>
    <t>GI</t>
  </si>
  <si>
    <t>NFilhos</t>
  </si>
  <si>
    <t>Solteiro</t>
  </si>
  <si>
    <t>Superior</t>
  </si>
  <si>
    <t>Casado</t>
  </si>
  <si>
    <t>Médio</t>
  </si>
  <si>
    <t>Fundamental</t>
  </si>
  <si>
    <t>NA</t>
  </si>
</sst>
</file>

<file path=xl/styles.xml><?xml version="1.0" encoding="utf-8"?>
<styleSheet xmlns="http://schemas.openxmlformats.org/spreadsheetml/2006/main">
  <numFmts count="5">
    <numFmt numFmtId="176" formatCode="0.0"/>
    <numFmt numFmtId="177" formatCode="_-&quot;R$&quot;\ * #,##0.00_-;\-&quot;R$&quot;\ * #,##0.00_-;_-&quot;R$&quot;\ * &quot;-&quot;??_-;_-@_-"/>
    <numFmt numFmtId="178" formatCode="_-* #,##0.00_-;\-* #,##0.00_-;_-* &quot;-&quot;??_-;_-@_-"/>
    <numFmt numFmtId="179" formatCode="_-* #,##0_-;\-* #,##0_-;_-* &quot;-&quot;_-;_-@_-"/>
    <numFmt numFmtId="180" formatCode="_-&quot;R$&quot;\ * #,##0_-;\-&quot;R$&quot;\ * #,##0_-;_-&quot;R$&quot;\ * &quot;-&quot;_-;_-@_-"/>
  </numFmts>
  <fonts count="23">
    <font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9"/>
      <name val="Segoe UI"/>
      <charset val="1"/>
    </font>
    <font>
      <sz val="9"/>
      <name val="Segoe U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2" fillId="2" borderId="1" applyNumberFormat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0" fillId="14" borderId="3" applyNumberFormat="0" applyFon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24" borderId="6" applyNumberFormat="0" applyAlignment="0" applyProtection="0">
      <alignment vertical="center"/>
    </xf>
    <xf numFmtId="0" fontId="18" fillId="25" borderId="8" applyNumberFormat="0" applyAlignment="0" applyProtection="0">
      <alignment vertical="center"/>
    </xf>
    <xf numFmtId="0" fontId="20" fillId="2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176" fontId="1" fillId="0" borderId="0" xfId="0" applyNumberFormat="1" applyFont="1" applyFill="1" applyAlignment="1"/>
  </cellXfs>
  <cellStyles count="49">
    <cellStyle name="Normal" xfId="0" builtinId="0"/>
    <cellStyle name="Comma" xfId="1" builtinId="3"/>
    <cellStyle name="Comma [0]" xfId="2" builtinId="6"/>
    <cellStyle name="40% - Ênfase 4" xfId="3" builtinId="43"/>
    <cellStyle name="Porcentagem" xfId="4" builtinId="5"/>
    <cellStyle name="Célula Vinculada" xfId="5" builtinId="24"/>
    <cellStyle name="Célula de Verificação" xfId="6" builtinId="23"/>
    <cellStyle name="Moeda [0]" xfId="7" builtinId="7"/>
    <cellStyle name="20% - Ênfase 3" xfId="8" builtinId="38"/>
    <cellStyle name="Moeda" xfId="9" builtinId="4"/>
    <cellStyle name="Hyperlink seguido" xfId="10" builtinId="9"/>
    <cellStyle name="Hyperlink" xfId="11" builtinId="8"/>
    <cellStyle name="40% - Ênfase 2" xfId="12" builtinId="35"/>
    <cellStyle name="Observação" xfId="13" builtinId="10"/>
    <cellStyle name="40% - Ênfase 6" xfId="14" builtinId="51"/>
    <cellStyle name="Texto de Aviso" xfId="15" builtinId="11"/>
    <cellStyle name="Título" xfId="16" builtinId="15"/>
    <cellStyle name="Texto Explicativo" xfId="17" builtinId="53"/>
    <cellStyle name="Ênfase 3" xfId="18" builtinId="37"/>
    <cellStyle name="Título 1" xfId="19" builtinId="16"/>
    <cellStyle name="Ênfase 4" xfId="20" builtinId="41"/>
    <cellStyle name="Título 2" xfId="21" builtinId="17"/>
    <cellStyle name="Ênfase 5" xfId="22" builtinId="45"/>
    <cellStyle name="Título 3" xfId="23" builtinId="18"/>
    <cellStyle name="Ênfase 6" xfId="24" builtinId="49"/>
    <cellStyle name="Título 4" xfId="25" builtinId="19"/>
    <cellStyle name="Entrada" xfId="26" builtinId="20"/>
    <cellStyle name="Saída" xfId="27" builtinId="21"/>
    <cellStyle name="Cálculo" xfId="28" builtinId="22"/>
    <cellStyle name="Total" xfId="29" builtinId="25"/>
    <cellStyle name="40% - Ênfase 1" xfId="30" builtinId="31"/>
    <cellStyle name="Bom" xfId="31" builtinId="26"/>
    <cellStyle name="Ruim" xfId="32" builtinId="27"/>
    <cellStyle name="Neutro" xfId="33" builtinId="28"/>
    <cellStyle name="20% - Ênfase 5" xfId="34" builtinId="46"/>
    <cellStyle name="Ênfase 1" xfId="35" builtinId="29"/>
    <cellStyle name="20% - Ênfase 1" xfId="36" builtinId="30"/>
    <cellStyle name="60% - Ênfase 1" xfId="37" builtinId="32"/>
    <cellStyle name="20% - Ênfase 6" xfId="38" builtinId="50"/>
    <cellStyle name="Ênfase 2" xfId="39" builtinId="33"/>
    <cellStyle name="20% - Ênfase 2" xfId="40" builtinId="34"/>
    <cellStyle name="60% - Ênfase 2" xfId="41" builtinId="36"/>
    <cellStyle name="40% - Ênfase 3" xfId="42" builtinId="39"/>
    <cellStyle name="60% - Ênfase 3" xfId="43" builtinId="40"/>
    <cellStyle name="20% - Ênfase 4" xfId="44" builtinId="42"/>
    <cellStyle name="60% - Ênfase 4" xfId="45" builtinId="44"/>
    <cellStyle name="40% - Ênfase 5" xfId="46" builtinId="47"/>
    <cellStyle name="60% - Ênfase 5" xfId="47" builtinId="48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tabSelected="1" workbookViewId="0">
      <selection activeCell="K7" sqref="K7"/>
    </sheetView>
  </sheetViews>
  <sheetFormatPr defaultColWidth="8.88888888888889" defaultRowHeight="13.8"/>
  <cols>
    <col min="10" max="10" width="11.2222222222222" customWidth="1"/>
  </cols>
  <sheetData>
    <row r="1" ht="14.4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</row>
    <row r="2" ht="14.4" spans="1:11">
      <c r="A2" s="1">
        <v>1</v>
      </c>
      <c r="B2" s="1">
        <v>2</v>
      </c>
      <c r="C2" s="1">
        <v>79</v>
      </c>
      <c r="D2" s="1">
        <v>1.59</v>
      </c>
      <c r="E2" s="1">
        <v>48</v>
      </c>
      <c r="F2" s="2">
        <f t="shared" ref="F2:F15" si="0">E2/D2^2</f>
        <v>18.9865907203038</v>
      </c>
      <c r="G2" s="1">
        <v>2</v>
      </c>
      <c r="H2" s="1">
        <v>22</v>
      </c>
      <c r="I2" t="s">
        <v>11</v>
      </c>
      <c r="J2" t="s">
        <v>12</v>
      </c>
      <c r="K2">
        <v>0</v>
      </c>
    </row>
    <row r="3" ht="14.4" spans="1:11">
      <c r="A3" s="1">
        <v>2</v>
      </c>
      <c r="B3" s="1">
        <v>1</v>
      </c>
      <c r="C3" s="1">
        <v>93</v>
      </c>
      <c r="D3" s="1">
        <v>1.88</v>
      </c>
      <c r="E3" s="1">
        <v>90</v>
      </c>
      <c r="F3" s="2">
        <f t="shared" si="0"/>
        <v>25.4640108646446</v>
      </c>
      <c r="G3" s="1">
        <v>2</v>
      </c>
      <c r="H3" s="1">
        <v>22</v>
      </c>
      <c r="I3" t="s">
        <v>13</v>
      </c>
      <c r="J3" t="s">
        <v>14</v>
      </c>
      <c r="K3">
        <v>1</v>
      </c>
    </row>
    <row r="4" ht="14.4" spans="1:11">
      <c r="A4" s="1">
        <v>1</v>
      </c>
      <c r="B4" s="1">
        <v>1</v>
      </c>
      <c r="C4" s="1">
        <v>79</v>
      </c>
      <c r="D4" s="1">
        <v>1.72</v>
      </c>
      <c r="E4" s="1">
        <v>52</v>
      </c>
      <c r="F4" s="2">
        <f t="shared" si="0"/>
        <v>17.5770686857761</v>
      </c>
      <c r="G4" s="1">
        <v>1</v>
      </c>
      <c r="H4" s="1">
        <v>18</v>
      </c>
      <c r="I4" t="s">
        <v>13</v>
      </c>
      <c r="J4" t="s">
        <v>12</v>
      </c>
      <c r="K4">
        <v>1</v>
      </c>
    </row>
    <row r="5" ht="14.4" spans="1:11">
      <c r="A5" s="1">
        <v>1</v>
      </c>
      <c r="B5" s="1">
        <v>2</v>
      </c>
      <c r="C5" s="1">
        <v>64</v>
      </c>
      <c r="D5" s="1">
        <v>1.7</v>
      </c>
      <c r="E5" s="1">
        <v>84</v>
      </c>
      <c r="F5" s="2">
        <f t="shared" si="0"/>
        <v>29.0657439446367</v>
      </c>
      <c r="G5" s="1">
        <v>1</v>
      </c>
      <c r="H5" s="1">
        <v>23</v>
      </c>
      <c r="I5" t="s">
        <v>11</v>
      </c>
      <c r="J5" t="s">
        <v>12</v>
      </c>
      <c r="K5">
        <v>1</v>
      </c>
    </row>
    <row r="6" ht="14.4" spans="1:11">
      <c r="A6" s="1">
        <v>2</v>
      </c>
      <c r="B6" s="1">
        <v>1</v>
      </c>
      <c r="C6" s="1">
        <v>69</v>
      </c>
      <c r="D6" s="1">
        <v>1.74</v>
      </c>
      <c r="E6" s="1">
        <v>85</v>
      </c>
      <c r="F6" s="2">
        <f t="shared" si="0"/>
        <v>28.075042938301</v>
      </c>
      <c r="G6" s="1">
        <v>1</v>
      </c>
      <c r="H6" s="1">
        <v>21</v>
      </c>
      <c r="I6" t="s">
        <v>13</v>
      </c>
      <c r="J6" t="s">
        <v>14</v>
      </c>
      <c r="K6">
        <v>2</v>
      </c>
    </row>
    <row r="7" ht="14.4" spans="1:11">
      <c r="A7" s="1">
        <v>2</v>
      </c>
      <c r="B7" s="1">
        <v>1</v>
      </c>
      <c r="C7" s="1">
        <v>71</v>
      </c>
      <c r="D7" s="1">
        <v>1.59</v>
      </c>
      <c r="E7" s="1">
        <v>78</v>
      </c>
      <c r="F7" s="2">
        <f t="shared" si="0"/>
        <v>30.8532099204936</v>
      </c>
      <c r="G7" s="1">
        <v>1</v>
      </c>
      <c r="H7" s="1">
        <v>22</v>
      </c>
      <c r="I7" t="s">
        <v>13</v>
      </c>
      <c r="J7" t="s">
        <v>15</v>
      </c>
      <c r="K7">
        <v>3</v>
      </c>
    </row>
    <row r="8" ht="14.4" spans="1:11">
      <c r="A8" s="1">
        <v>1</v>
      </c>
      <c r="B8" s="1">
        <v>2</v>
      </c>
      <c r="C8" s="1">
        <v>60</v>
      </c>
      <c r="D8" s="1">
        <v>1.8</v>
      </c>
      <c r="E8" s="1">
        <v>85</v>
      </c>
      <c r="F8" s="2">
        <f t="shared" si="0"/>
        <v>26.2345679012346</v>
      </c>
      <c r="G8" s="1">
        <v>2</v>
      </c>
      <c r="H8" s="1">
        <v>19</v>
      </c>
      <c r="I8" t="s">
        <v>11</v>
      </c>
      <c r="J8" t="s">
        <v>12</v>
      </c>
      <c r="K8">
        <v>2</v>
      </c>
    </row>
    <row r="9" ht="14.4" spans="1:11">
      <c r="A9" s="1">
        <v>1</v>
      </c>
      <c r="B9" s="1">
        <v>2</v>
      </c>
      <c r="C9" s="1">
        <v>76</v>
      </c>
      <c r="D9" s="1">
        <v>1.48</v>
      </c>
      <c r="E9" s="1">
        <v>58</v>
      </c>
      <c r="F9" s="2">
        <f t="shared" si="0"/>
        <v>26.4791818845873</v>
      </c>
      <c r="G9" s="1">
        <v>2</v>
      </c>
      <c r="H9" s="1">
        <v>21</v>
      </c>
      <c r="I9" t="s">
        <v>13</v>
      </c>
      <c r="J9" t="s">
        <v>15</v>
      </c>
      <c r="K9">
        <v>1</v>
      </c>
    </row>
    <row r="10" ht="14.4" spans="1:11">
      <c r="A10" s="1">
        <v>2</v>
      </c>
      <c r="B10" s="1">
        <v>2</v>
      </c>
      <c r="C10" s="1">
        <v>72</v>
      </c>
      <c r="D10" s="1">
        <v>1.6</v>
      </c>
      <c r="E10" s="1">
        <v>69</v>
      </c>
      <c r="F10" s="2">
        <f t="shared" si="0"/>
        <v>26.953125</v>
      </c>
      <c r="G10" s="1">
        <v>2</v>
      </c>
      <c r="H10" s="1">
        <v>18</v>
      </c>
      <c r="I10" t="s">
        <v>13</v>
      </c>
      <c r="J10" t="s">
        <v>12</v>
      </c>
      <c r="K10">
        <v>3</v>
      </c>
    </row>
    <row r="11" ht="14.4" spans="1:11">
      <c r="A11" s="1">
        <v>1</v>
      </c>
      <c r="B11" s="1">
        <v>1</v>
      </c>
      <c r="C11" s="1">
        <v>82</v>
      </c>
      <c r="D11" s="1">
        <v>1.48</v>
      </c>
      <c r="E11" s="1">
        <v>51</v>
      </c>
      <c r="F11" s="2">
        <f t="shared" si="0"/>
        <v>23.2834185536888</v>
      </c>
      <c r="G11" s="1">
        <v>2</v>
      </c>
      <c r="H11" s="1">
        <v>18</v>
      </c>
      <c r="I11" t="s">
        <v>13</v>
      </c>
      <c r="J11" t="s">
        <v>12</v>
      </c>
      <c r="K11">
        <v>1</v>
      </c>
    </row>
    <row r="12" ht="14.4" spans="1:11">
      <c r="A12" s="1">
        <v>1</v>
      </c>
      <c r="B12" s="1">
        <v>1</v>
      </c>
      <c r="C12" s="1">
        <v>77</v>
      </c>
      <c r="D12" s="1">
        <v>1.64</v>
      </c>
      <c r="E12" s="1">
        <v>107</v>
      </c>
      <c r="F12" s="2">
        <f t="shared" si="0"/>
        <v>39.7828673408685</v>
      </c>
      <c r="G12" s="1">
        <v>1</v>
      </c>
      <c r="H12" s="1">
        <v>21</v>
      </c>
      <c r="I12" t="s">
        <v>11</v>
      </c>
      <c r="J12" t="s">
        <v>14</v>
      </c>
      <c r="K12">
        <v>2</v>
      </c>
    </row>
    <row r="13" ht="14.4" spans="1:11">
      <c r="A13" s="1">
        <v>1</v>
      </c>
      <c r="B13" s="1">
        <v>1</v>
      </c>
      <c r="C13" s="1">
        <v>80</v>
      </c>
      <c r="D13" s="1">
        <v>1.62</v>
      </c>
      <c r="E13" s="1">
        <v>60</v>
      </c>
      <c r="F13" s="2">
        <f t="shared" si="0"/>
        <v>22.8623685413809</v>
      </c>
      <c r="G13" s="1">
        <v>1</v>
      </c>
      <c r="H13" s="1">
        <v>21</v>
      </c>
      <c r="I13" t="s">
        <v>13</v>
      </c>
      <c r="J13" t="s">
        <v>12</v>
      </c>
      <c r="K13">
        <v>1</v>
      </c>
    </row>
    <row r="14" ht="14.4" spans="1:11">
      <c r="A14" s="1">
        <v>2</v>
      </c>
      <c r="B14" s="1" t="s">
        <v>16</v>
      </c>
      <c r="C14" s="1">
        <v>71</v>
      </c>
      <c r="D14" s="1">
        <v>1.72</v>
      </c>
      <c r="E14" s="1">
        <v>89</v>
      </c>
      <c r="F14" s="2">
        <f t="shared" si="0"/>
        <v>30.0838290968091</v>
      </c>
      <c r="G14" s="1">
        <v>2</v>
      </c>
      <c r="H14" s="1">
        <v>23</v>
      </c>
      <c r="I14" t="s">
        <v>13</v>
      </c>
      <c r="J14" t="s">
        <v>14</v>
      </c>
      <c r="K14">
        <v>2</v>
      </c>
    </row>
    <row r="15" ht="14.4" spans="1:11">
      <c r="A15" s="1">
        <v>1</v>
      </c>
      <c r="B15" s="1">
        <v>2</v>
      </c>
      <c r="C15" s="1">
        <v>78</v>
      </c>
      <c r="D15" s="1">
        <v>1.62</v>
      </c>
      <c r="E15" s="1">
        <v>62</v>
      </c>
      <c r="F15" s="2">
        <f t="shared" si="0"/>
        <v>23.6244474927602</v>
      </c>
      <c r="G15" s="1">
        <v>2</v>
      </c>
      <c r="H15" s="1">
        <v>20</v>
      </c>
      <c r="I15" t="s">
        <v>11</v>
      </c>
      <c r="J15" t="s">
        <v>12</v>
      </c>
      <c r="K15">
        <v>1</v>
      </c>
    </row>
  </sheetData>
  <pageMargins left="0.75" right="0.75" top="1" bottom="1" header="0.5" footer="0.5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1">
    <comment s:ref="A1" rgbClr="1CC618"/>
    <comment s:ref="B1" rgbClr="1CC618"/>
    <comment s:ref="C1" rgbClr="1CC618"/>
    <comment s:ref="D1" rgbClr="1CC618"/>
    <comment s:ref="E1" rgbClr="1CC618"/>
    <comment s:ref="F1" rgbClr="1CC618"/>
    <comment s:ref="G1" rgbClr="1CC618"/>
    <comment s:ref="H1" rgbClr="1CC618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Prof. Lu Giarola</cp:lastModifiedBy>
  <dcterms:created xsi:type="dcterms:W3CDTF">2023-05-22T13:17:00Z</dcterms:created>
  <dcterms:modified xsi:type="dcterms:W3CDTF">2023-07-31T14:53:34Z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DFEF04426C0A4664B9F32D5274BA5419</vt:lpwstr>
  </property>
  <property fmtid="{D5CDD505-2E9C-101B-9397-08002B2CF9AE}" pid="3" name="KSOProductBuildVer">
    <vt:lpwstr>1046-11.2.0.11537</vt:lpwstr>
  </property>
</Properties>
</file>